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esktop\P_PROD-Lymberis.D\"/>
    </mc:Choice>
  </mc:AlternateContent>
  <xr:revisionPtr revIDLastSave="0" documentId="13_ncr:1_{5344260F-FF7D-4F56-9F4D-14BADB6B13BB}" xr6:coauthVersionLast="47" xr6:coauthVersionMax="47" xr10:uidLastSave="{00000000-0000-0000-0000-000000000000}"/>
  <bookViews>
    <workbookView xWindow="-120" yWindow="-120" windowWidth="29040" windowHeight="15840" activeTab="2"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2" l="1"/>
  <c r="C13" i="12" s="1"/>
  <c r="B25" i="12"/>
  <c r="C25" i="12" s="1"/>
  <c r="B27" i="1"/>
  <c r="B28" i="1"/>
  <c r="B37" i="12"/>
  <c r="C37"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<sst xmlns="http://schemas.openxmlformats.org/spreadsheetml/2006/main" count="214" uniqueCount="73">
  <si>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</si>
  <si>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</si>
  <si>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</si>
  <si>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</si>
  <si>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</si>
  <si>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</si>
  <si>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</si>
  <si>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</si>
  <si>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</si>
  <si>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</si>
  <si>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</si>
  <si>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</si>
  <si>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</si>
  <si>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</si>
  <si>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</si>
  <si>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</si>
  <si>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</si>
  <si>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</si>
  <si>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</si>
  <si>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</si>
  <si>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</si>
  <si>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</si>
  <si>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</si>
  <si>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</si>
  <si>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</si>
  <si>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</si>
  <si>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</si>
  <si>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</si>
  <si>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</si>
  <si>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</si>
  <si>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</si>
  <si>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</si>
  <si>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</si>
  <si>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</si>
  <si>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</si>
  <si>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</si>
  <si>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</si>
  <si>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</si>
  <si>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</si>
  <si>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</si>
  <si>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</si>
  <si>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</si>
  <si>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</si>
  <si>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</si>
  <si>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</si>
  <si>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</si>
  <si>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</si>
  <si>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</si>
  <si>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</si>
  <si>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</si>
  <si>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</si>
  <si>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</si>
  <si>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</si>
  <si>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Séquence 8</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</si>
  <si>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</si>
  <si>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</si>
  <si>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</si>
  <si>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</si>
  <si>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</si>
  <si>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</si>
  <si>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</si>
  <si>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</si>
  <si>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</si>
  <si>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</si>
  <si>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</si>
  <si>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</si>
  <si>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</si>
  <si>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</si>
  <si>
    <t>Discussion avec m. Lymberis à propos du matériel dans les classes, des différents critères et fournitures qu'il faut dans les classes comme les fournitures des boites, mais aussi les cables et insfrastructures informatiques des salles.</t>
  </si>
  <si>
    <t>J'ai amélioré et complété mon journal de travail de la semaine passé ainsi que celui de cette semaine.</t>
  </si>
  <si>
    <t>C-H et moi avons créé le fichier excel permettant de noter le matériel des classes puis nous sommes allé vérifier le matériel de toutes les classes du bâtiment B et celles du rez du bâtiment A, en constatant qu'il manque un peu de tout dans toutes les salles, mais surtout des stylos bics bleus et rouges.</t>
  </si>
  <si>
    <t>5h0min</t>
  </si>
  <si>
    <t>- 5h0min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</si>
</sst>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indexed="12"/>
        <bgColor indexed="64"/>
      </patternFill>
    </fill>
    <fill>
      <patternFill patternType="solid">
        <fgColor rgb="FFFFFACD"/>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0" fontId="2" fillId="18" borderId="27" xfId="0" applyFont="1" applyFill="1" applyBorder="1" applyProtection="1"/>
    <xf numFmtId="0" fontId="2" fillId="18" borderId="28" xfId="0" applyFont="1" applyFill="1" applyBorder="1"/>
    <xf numFmtId="0" fontId="2" fillId="18" borderId="62" xfId="0" applyFont="1" applyFill="1" applyBorder="1"/>
    <xf numFmtId="0" fontId="2" fillId="18" borderId="57" xfId="0" applyFont="1" applyFill="1" applyBorder="1"/>
    <xf numFmtId="0" fontId="2" fillId="18" borderId="19" xfId="0" applyFont="1" applyFill="1" applyBorder="1"/>
    <xf numFmtId="0" fontId="2" fillId="18" borderId="60" xfId="0" applyFont="1" applyFill="1" applyBorder="1"/>
    <xf numFmtId="0" fontId="2" fillId="18" borderId="55" xfId="0" applyFont="1" applyFill="1" applyBorder="1"/>
    <xf numFmtId="2" fontId="12" fillId="19" borderId="72" xfId="0" applyNumberFormat="1" applyFont="1" applyFill="1" applyBorder="1" applyAlignment="1">
      <alignment horizontal="center" vertical="center"/>
    </xf>
    <xf numFmtId="0" fontId="0" fillId="10" borderId="0" xfId="0" applyFill="1" applyBorder="1" applyAlignment="1">
      <alignment horizontal="center"/>
    </xf>
    <xf numFmtId="0" fontId="14" fillId="10"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6"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165" fontId="7" fillId="8" borderId="47" xfId="0" applyNumberFormat="1" applyFont="1" applyFill="1" applyBorder="1" applyAlignment="1">
      <alignment horizontal="left" vertical="center"/>
    </xf>
    <xf numFmtId="0" fontId="6" fillId="8" borderId="47" xfId="0" applyFont="1" applyFill="1" applyBorder="1" applyAlignment="1">
      <alignment horizontal="center" vertical="center"/>
    </xf>
    <xf numFmtId="0" fontId="9" fillId="5" borderId="52" xfId="0" applyFont="1" applyFill="1" applyBorder="1" applyAlignment="1" applyProtection="1">
      <alignment horizontal="left" vertical="center" wrapText="1" indent="1"/>
      <protection locked="0"/>
    </xf>
    <xf numFmtId="0" fontId="9" fillId="5" borderId="53" xfId="0" applyFont="1" applyFill="1" applyBorder="1" applyAlignment="1" applyProtection="1">
      <alignment horizontal="left" vertical="center" wrapText="1" indent="1"/>
      <protection locked="0"/>
    </xf>
    <xf numFmtId="0" fontId="0" fillId="5" borderId="53" xfId="0" applyFont="1" applyFill="1" applyBorder="1"/>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0" fillId="0" borderId="0" xfId="0" applyBorder="1" applyAlignment="1">
      <alignment horizontal="center"/>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AE1-4D44-BA9D-660C315212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AE1-4D44-BA9D-660C315212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AE1-4D44-BA9D-660C315212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AE1-4D44-BA9D-660C315212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AE1-4D44-BA9D-660C315212E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AE1-4D44-BA9D-660C315212E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AE1-4D44-BA9D-660C315212E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AE1-4D44-BA9D-660C315212EF}"/>
              </c:ext>
            </c:extLst>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opLeftCell="A63" zoomScale="70" zoomScaleNormal="70" zoomScaleSheetLayoutView="43" workbookViewId="0">
      <selection activeCell="E94" sqref="E94:IJ94"/>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70" t="s">
        <v>44</v>
      </c>
      <c r="D1" s="170"/>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71"/>
      <c r="D7" s="171"/>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78" t="str">
        <f>D96</f>
        <v>0h0min</v>
      </c>
      <c r="G9" s="178"/>
      <c r="H9" s="178"/>
      <c r="I9" s="178"/>
      <c r="J9" s="178"/>
      <c r="K9" s="178"/>
      <c r="L9" s="178"/>
      <c r="M9" s="178"/>
      <c r="N9" s="178"/>
      <c r="O9" s="178"/>
      <c r="P9" s="178"/>
      <c r="Q9" s="178"/>
      <c r="R9" s="178"/>
      <c r="S9" s="178"/>
      <c r="T9" s="178"/>
      <c r="U9" s="142"/>
      <c r="V9" s="179" t="s">
        <v>34</v>
      </c>
      <c r="W9" s="179"/>
      <c r="X9" s="179"/>
      <c r="Y9" s="179"/>
      <c r="Z9" s="179"/>
      <c r="AA9" s="179"/>
      <c r="AB9" s="179"/>
      <c r="AC9" s="179"/>
      <c r="AD9" s="179"/>
      <c r="AE9" s="179"/>
      <c r="AF9" s="179"/>
      <c r="AG9" s="178" t="str">
        <f>D98</f>
        <v>5h0min</v>
      </c>
      <c r="AH9" s="178"/>
      <c r="AI9" s="178"/>
      <c r="AJ9" s="178"/>
      <c r="AK9" s="178"/>
      <c r="AL9" s="178"/>
      <c r="AM9" s="178"/>
      <c r="AN9" s="178"/>
      <c r="AO9" s="178"/>
      <c r="AP9" s="178"/>
      <c r="AQ9" s="178"/>
      <c r="AR9" s="178"/>
      <c r="AS9" s="178"/>
      <c r="AT9" s="178"/>
      <c r="AU9" s="178"/>
      <c r="AV9" s="178"/>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91"/>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11"/>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c r="DU10" s="163"/>
      <c r="DV10" s="163"/>
      <c r="DW10" s="163"/>
      <c r="DX10" s="163"/>
      <c r="DY10" s="163"/>
      <c r="DZ10" s="163"/>
      <c r="EA10" s="163"/>
      <c r="EB10" s="163"/>
      <c r="EC10" s="163"/>
      <c r="ED10" s="163"/>
      <c r="EE10" s="163"/>
      <c r="EF10" s="163"/>
      <c r="EG10" s="163"/>
      <c r="EH10" s="163"/>
      <c r="EI10" s="163"/>
      <c r="EJ10" s="163"/>
      <c r="EK10" s="163"/>
      <c r="EL10" s="163"/>
      <c r="EM10" s="163"/>
      <c r="EN10" s="163"/>
      <c r="EO10" s="163"/>
      <c r="EP10" s="163"/>
      <c r="EQ10" s="163"/>
      <c r="ER10" s="163"/>
      <c r="ES10" s="163"/>
      <c r="ET10" s="163"/>
      <c r="EU10" s="163"/>
      <c r="EV10" s="163"/>
      <c r="EW10" s="163"/>
      <c r="EX10" s="163"/>
      <c r="EY10" s="163"/>
      <c r="EZ10" s="163"/>
      <c r="FA10" s="163"/>
      <c r="FB10" s="163"/>
      <c r="FC10" s="163"/>
      <c r="FD10" s="163"/>
      <c r="FE10" s="163"/>
      <c r="FF10" s="163"/>
      <c r="FG10" s="163"/>
      <c r="FH10" s="163"/>
      <c r="FI10" s="163"/>
      <c r="FJ10" s="163"/>
      <c r="FK10" s="163"/>
      <c r="FL10" s="163"/>
      <c r="FM10" s="163"/>
      <c r="FN10" s="163"/>
      <c r="FO10" s="163"/>
      <c r="FP10" s="163"/>
      <c r="FQ10" s="163"/>
      <c r="FR10" s="163"/>
      <c r="FS10" s="163"/>
      <c r="FT10" s="163"/>
      <c r="FU10" s="163"/>
      <c r="FV10" s="163"/>
      <c r="FW10" s="163"/>
      <c r="FX10" s="163"/>
      <c r="FY10" s="163"/>
      <c r="FZ10" s="163"/>
      <c r="GA10" s="163"/>
      <c r="GB10" s="163"/>
      <c r="GC10" s="163"/>
      <c r="GD10" s="163"/>
      <c r="GE10" s="163"/>
      <c r="GF10" s="163"/>
      <c r="GG10" s="163"/>
      <c r="GH10" s="163"/>
      <c r="GI10" s="163"/>
      <c r="GJ10" s="163"/>
      <c r="GK10" s="163"/>
      <c r="GL10" s="163"/>
      <c r="GM10" s="163"/>
      <c r="GN10" s="163"/>
      <c r="GO10" s="163"/>
      <c r="GP10" s="163"/>
      <c r="GQ10" s="163"/>
      <c r="GR10" s="163"/>
      <c r="GS10" s="163"/>
      <c r="GT10" s="163"/>
      <c r="GU10" s="163"/>
      <c r="GV10" s="163"/>
      <c r="GW10" s="163"/>
      <c r="GX10" s="163"/>
      <c r="GY10" s="163"/>
      <c r="GZ10" s="163"/>
      <c r="HA10" s="163"/>
      <c r="HB10" s="163"/>
      <c r="HC10" s="163"/>
      <c r="HD10" s="163"/>
      <c r="HE10" s="163"/>
      <c r="HF10" s="163"/>
      <c r="HG10" s="163"/>
      <c r="HH10" s="163"/>
      <c r="HI10" s="163"/>
      <c r="HJ10" s="163"/>
      <c r="HK10" s="163"/>
      <c r="HL10" s="163"/>
      <c r="HM10" s="163"/>
      <c r="HN10" s="163"/>
      <c r="HO10" s="163"/>
      <c r="HP10" s="163"/>
      <c r="HQ10" s="163"/>
      <c r="HR10" s="163"/>
      <c r="HS10" s="163"/>
      <c r="HT10" s="163"/>
      <c r="HU10" s="163"/>
      <c r="HV10" s="163"/>
      <c r="HW10" s="163"/>
      <c r="HX10" s="163"/>
      <c r="HY10" s="163"/>
      <c r="HZ10" s="163"/>
      <c r="IA10" s="163"/>
      <c r="IB10" s="163"/>
      <c r="IC10" s="163"/>
      <c r="ID10" s="163"/>
      <c r="IE10" s="163"/>
      <c r="IF10" s="163"/>
      <c r="IG10" s="163"/>
      <c r="IH10" s="163"/>
      <c r="II10" s="163"/>
      <c r="IJ10" s="163"/>
      <c r="IK10" s="109"/>
    </row>
    <row r="11" spans="1:245" ht="20.100000000000001" customHeight="1" x14ac:dyDescent="0.25">
      <c r="B11" s="115"/>
      <c r="C11" s="174" t="s">
        <v>4</v>
      </c>
      <c r="D11" s="174"/>
      <c r="E11" s="176"/>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c r="AH11" s="177"/>
      <c r="AI11" s="176"/>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177"/>
      <c r="BJ11" s="177"/>
      <c r="BK11" s="177"/>
      <c r="BL11" s="177"/>
      <c r="BM11" s="176"/>
      <c r="BN11" s="177"/>
      <c r="BO11" s="177"/>
      <c r="BP11" s="177"/>
      <c r="BQ11" s="177"/>
      <c r="BR11" s="177"/>
      <c r="BS11" s="177"/>
      <c r="BT11" s="177"/>
      <c r="BU11" s="177"/>
      <c r="BV11" s="177"/>
      <c r="BW11" s="177"/>
      <c r="BX11" s="177"/>
      <c r="BY11" s="177"/>
      <c r="BZ11" s="177"/>
      <c r="CA11" s="177"/>
      <c r="CB11" s="177"/>
      <c r="CC11" s="177"/>
      <c r="CD11" s="177"/>
      <c r="CE11" s="177"/>
      <c r="CF11" s="177"/>
      <c r="CG11" s="177"/>
      <c r="CH11" s="177"/>
      <c r="CI11" s="177"/>
      <c r="CJ11" s="177"/>
      <c r="CK11" s="177"/>
      <c r="CL11" s="177"/>
      <c r="CM11" s="177"/>
      <c r="CN11" s="177"/>
      <c r="CO11" s="177"/>
      <c r="CP11" s="177"/>
      <c r="CQ11" s="176"/>
      <c r="CR11" s="177"/>
      <c r="CS11" s="177"/>
      <c r="CT11" s="177"/>
      <c r="CU11" s="177"/>
      <c r="CV11" s="177"/>
      <c r="CW11" s="177"/>
      <c r="CX11" s="177"/>
      <c r="CY11" s="177"/>
      <c r="CZ11" s="177"/>
      <c r="DA11" s="177"/>
      <c r="DB11" s="177"/>
      <c r="DC11" s="177"/>
      <c r="DD11" s="177"/>
      <c r="DE11" s="177"/>
      <c r="DF11" s="177"/>
      <c r="DG11" s="177"/>
      <c r="DH11" s="177"/>
      <c r="DI11" s="177"/>
      <c r="DJ11" s="177"/>
      <c r="DK11" s="177"/>
      <c r="DL11" s="177"/>
      <c r="DM11" s="177"/>
      <c r="DN11" s="177"/>
      <c r="DO11" s="177"/>
      <c r="DP11" s="177"/>
      <c r="DQ11" s="177"/>
      <c r="DR11" s="177"/>
      <c r="DS11" s="177"/>
      <c r="DT11" s="177"/>
      <c r="DU11" s="164"/>
      <c r="DV11" s="164"/>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4"/>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64"/>
      <c r="HT11" s="164"/>
      <c r="HU11" s="164"/>
      <c r="HV11" s="164"/>
      <c r="HW11" s="164"/>
      <c r="HX11" s="164"/>
      <c r="HY11" s="164"/>
      <c r="HZ11" s="164"/>
      <c r="IA11" s="164"/>
      <c r="IB11" s="164"/>
      <c r="IC11" s="164"/>
      <c r="ID11" s="164"/>
      <c r="IE11" s="164"/>
      <c r="IF11" s="164"/>
      <c r="IG11" s="164"/>
      <c r="IH11" s="164"/>
      <c r="II11" s="164"/>
      <c r="IJ11" s="164"/>
      <c r="IK11" s="109"/>
    </row>
    <row r="12" spans="1:245" ht="15.75" customHeight="1" thickBot="1" x14ac:dyDescent="0.3">
      <c r="B12" s="116"/>
      <c r="C12" s="175"/>
      <c r="D12" s="175"/>
      <c r="E12" s="172"/>
      <c r="F12" s="173"/>
      <c r="G12" s="173"/>
      <c r="H12" s="173"/>
      <c r="I12" s="173"/>
      <c r="J12" s="173"/>
      <c r="K12" s="173"/>
      <c r="L12" s="173"/>
      <c r="M12" s="173"/>
      <c r="N12" s="173"/>
      <c r="O12" s="173"/>
      <c r="P12" s="173"/>
      <c r="Q12" s="173"/>
      <c r="R12" s="173"/>
      <c r="S12" s="173"/>
      <c r="T12" s="173"/>
      <c r="U12" s="173"/>
      <c r="V12" s="173"/>
      <c r="W12" s="173"/>
      <c r="X12" s="173"/>
      <c r="Y12" s="173"/>
      <c r="Z12" s="173"/>
      <c r="AA12" s="173"/>
      <c r="AB12" s="173"/>
      <c r="AC12" s="173"/>
      <c r="AD12" s="173"/>
      <c r="AE12" s="173"/>
      <c r="AF12" s="173"/>
      <c r="AG12" s="173"/>
      <c r="AH12" s="173"/>
      <c r="AI12" s="172"/>
      <c r="AJ12" s="173"/>
      <c r="AK12" s="173"/>
      <c r="AL12" s="173"/>
      <c r="AM12" s="173"/>
      <c r="AN12" s="173"/>
      <c r="AO12" s="173"/>
      <c r="AP12" s="173"/>
      <c r="AQ12" s="173"/>
      <c r="AR12" s="173"/>
      <c r="AS12" s="173"/>
      <c r="AT12" s="173"/>
      <c r="AU12" s="173"/>
      <c r="AV12" s="173"/>
      <c r="AW12" s="173"/>
      <c r="AX12" s="173"/>
      <c r="AY12" s="173"/>
      <c r="AZ12" s="173"/>
      <c r="BA12" s="173"/>
      <c r="BB12" s="173"/>
      <c r="BC12" s="173"/>
      <c r="BD12" s="173"/>
      <c r="BE12" s="173"/>
      <c r="BF12" s="173"/>
      <c r="BG12" s="173"/>
      <c r="BH12" s="173"/>
      <c r="BI12" s="173"/>
      <c r="BJ12" s="173"/>
      <c r="BK12" s="173"/>
      <c r="BL12" s="173"/>
      <c r="BM12" s="172"/>
      <c r="BN12" s="173"/>
      <c r="BO12" s="173"/>
      <c r="BP12" s="173"/>
      <c r="BQ12" s="173"/>
      <c r="BR12" s="173"/>
      <c r="BS12" s="173"/>
      <c r="BT12" s="173"/>
      <c r="BU12" s="173"/>
      <c r="BV12" s="173"/>
      <c r="BW12" s="173"/>
      <c r="BX12" s="173"/>
      <c r="BY12" s="173"/>
      <c r="BZ12" s="173"/>
      <c r="CA12" s="173"/>
      <c r="CB12" s="173"/>
      <c r="CC12" s="173"/>
      <c r="CD12" s="173"/>
      <c r="CE12" s="173"/>
      <c r="CF12" s="173"/>
      <c r="CG12" s="173"/>
      <c r="CH12" s="173"/>
      <c r="CI12" s="173"/>
      <c r="CJ12" s="173"/>
      <c r="CK12" s="173"/>
      <c r="CL12" s="173"/>
      <c r="CM12" s="173"/>
      <c r="CN12" s="173"/>
      <c r="CO12" s="173"/>
      <c r="CP12" s="173"/>
      <c r="CQ12" s="165"/>
      <c r="CR12" s="165"/>
      <c r="CS12" s="165"/>
      <c r="CT12" s="165"/>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09"/>
    </row>
    <row r="13" spans="1:245" ht="42.75" customHeight="1" thickBot="1" x14ac:dyDescent="0.3">
      <c r="B13" s="115"/>
      <c r="C13" s="187" t="s">
        <v>9</v>
      </c>
      <c r="D13" s="189" t="s">
        <v>32</v>
      </c>
      <c r="E13" s="166" t="s">
        <v>10</v>
      </c>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8"/>
      <c r="AI13" s="166" t="s">
        <v>39</v>
      </c>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8"/>
      <c r="BM13" s="166" t="s">
        <v>29</v>
      </c>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8"/>
      <c r="CQ13" s="166" t="s">
        <v>43</v>
      </c>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8"/>
      <c r="DU13" s="166" t="s">
        <v>56</v>
      </c>
      <c r="DV13" s="167"/>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8"/>
      <c r="EY13" s="166" t="s">
        <v>55</v>
      </c>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8"/>
      <c r="GC13" s="166" t="s">
        <v>54</v>
      </c>
      <c r="GD13" s="167"/>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8"/>
      <c r="HG13" s="166" t="s">
        <v>53</v>
      </c>
      <c r="HH13" s="167"/>
      <c r="HI13" s="167"/>
      <c r="HJ13" s="167"/>
      <c r="HK13" s="167"/>
      <c r="HL13" s="167"/>
      <c r="HM13" s="167"/>
      <c r="HN13" s="167"/>
      <c r="HO13" s="167"/>
      <c r="HP13" s="167"/>
      <c r="HQ13" s="167"/>
      <c r="HR13" s="167"/>
      <c r="HS13" s="167"/>
      <c r="HT13" s="167"/>
      <c r="HU13" s="167"/>
      <c r="HV13" s="167"/>
      <c r="HW13" s="167"/>
      <c r="HX13" s="167"/>
      <c r="HY13" s="167"/>
      <c r="HZ13" s="167"/>
      <c r="IA13" s="167"/>
      <c r="IB13" s="167"/>
      <c r="IC13" s="167"/>
      <c r="ID13" s="167"/>
      <c r="IE13" s="167"/>
      <c r="IF13" s="167"/>
      <c r="IG13" s="167"/>
      <c r="IH13" s="167"/>
      <c r="II13" s="167"/>
      <c r="IJ13" s="168"/>
      <c r="IK13" s="109"/>
    </row>
    <row r="14" spans="1:245" ht="12.75" customHeight="1" thickBot="1" x14ac:dyDescent="0.3">
      <c r="B14" s="115"/>
      <c r="C14" s="188"/>
      <c r="D14" s="190"/>
      <c r="E14" s="123"/>
      <c r="F14" s="126"/>
      <c r="G14" s="126"/>
      <c r="H14" s="126"/>
      <c r="I14" s="126"/>
      <c r="J14" s="169" t="s">
        <v>35</v>
      </c>
      <c r="K14" s="169"/>
      <c r="L14" s="126"/>
      <c r="M14" s="126"/>
      <c r="N14" s="126"/>
      <c r="O14" s="126"/>
      <c r="P14" s="169" t="s">
        <v>36</v>
      </c>
      <c r="Q14" s="169"/>
      <c r="R14" s="126"/>
      <c r="S14" s="126"/>
      <c r="T14" s="126"/>
      <c r="U14" s="126"/>
      <c r="V14" s="169" t="s">
        <v>37</v>
      </c>
      <c r="W14" s="169"/>
      <c r="X14" s="126"/>
      <c r="Y14" s="126"/>
      <c r="Z14" s="126"/>
      <c r="AA14" s="126"/>
      <c r="AB14" s="169" t="s">
        <v>38</v>
      </c>
      <c r="AC14" s="169"/>
      <c r="AD14" s="126"/>
      <c r="AE14" s="126"/>
      <c r="AF14" s="126"/>
      <c r="AG14" s="126"/>
      <c r="AH14" s="127"/>
      <c r="AI14" s="128"/>
      <c r="AJ14" s="126"/>
      <c r="AK14" s="126"/>
      <c r="AL14" s="126"/>
      <c r="AM14" s="126"/>
      <c r="AN14" s="169" t="s">
        <v>35</v>
      </c>
      <c r="AO14" s="169"/>
      <c r="AP14" s="126"/>
      <c r="AQ14" s="126"/>
      <c r="AR14" s="126"/>
      <c r="AS14" s="126"/>
      <c r="AT14" s="169" t="s">
        <v>36</v>
      </c>
      <c r="AU14" s="169"/>
      <c r="AV14" s="126"/>
      <c r="AW14" s="126"/>
      <c r="AX14" s="126"/>
      <c r="AY14" s="126"/>
      <c r="AZ14" s="169" t="s">
        <v>37</v>
      </c>
      <c r="BA14" s="169"/>
      <c r="BB14" s="126"/>
      <c r="BC14" s="126"/>
      <c r="BD14" s="126"/>
      <c r="BE14" s="126"/>
      <c r="BF14" s="169" t="s">
        <v>38</v>
      </c>
      <c r="BG14" s="169"/>
      <c r="BH14" s="126"/>
      <c r="BI14" s="126"/>
      <c r="BJ14" s="126"/>
      <c r="BK14" s="126"/>
      <c r="BL14" s="127"/>
      <c r="BM14" s="128"/>
      <c r="BN14" s="126"/>
      <c r="BO14" s="126"/>
      <c r="BP14" s="126"/>
      <c r="BQ14" s="126"/>
      <c r="BR14" s="169" t="s">
        <v>35</v>
      </c>
      <c r="BS14" s="169"/>
      <c r="BT14" s="126"/>
      <c r="BU14" s="126"/>
      <c r="BV14" s="126"/>
      <c r="BW14" s="126"/>
      <c r="BX14" s="169" t="s">
        <v>36</v>
      </c>
      <c r="BY14" s="169"/>
      <c r="BZ14" s="126"/>
      <c r="CA14" s="126"/>
      <c r="CB14" s="126"/>
      <c r="CC14" s="126"/>
      <c r="CD14" s="169" t="s">
        <v>37</v>
      </c>
      <c r="CE14" s="169"/>
      <c r="CF14" s="126"/>
      <c r="CG14" s="126"/>
      <c r="CH14" s="126"/>
      <c r="CI14" s="126"/>
      <c r="CJ14" s="169" t="s">
        <v>38</v>
      </c>
      <c r="CK14" s="169"/>
      <c r="CL14" s="126"/>
      <c r="CM14" s="126"/>
      <c r="CN14" s="126"/>
      <c r="CO14" s="126"/>
      <c r="CP14" s="127"/>
      <c r="CQ14" s="123"/>
      <c r="CR14" s="124"/>
      <c r="CS14" s="124"/>
      <c r="CT14" s="124"/>
      <c r="CU14" s="124"/>
      <c r="CV14" s="169" t="s">
        <v>35</v>
      </c>
      <c r="CW14" s="169"/>
      <c r="CX14" s="124"/>
      <c r="CY14" s="124"/>
      <c r="CZ14" s="124"/>
      <c r="DA14" s="124"/>
      <c r="DB14" s="169" t="s">
        <v>36</v>
      </c>
      <c r="DC14" s="169"/>
      <c r="DD14" s="124"/>
      <c r="DE14" s="124"/>
      <c r="DF14" s="124"/>
      <c r="DG14" s="124"/>
      <c r="DH14" s="169" t="s">
        <v>37</v>
      </c>
      <c r="DI14" s="169"/>
      <c r="DJ14" s="124"/>
      <c r="DK14" s="124"/>
      <c r="DL14" s="124"/>
      <c r="DM14" s="124"/>
      <c r="DN14" s="169" t="s">
        <v>38</v>
      </c>
      <c r="DO14" s="169"/>
      <c r="DP14" s="124"/>
      <c r="DQ14" s="124"/>
      <c r="DR14" s="124"/>
      <c r="DS14" s="124"/>
      <c r="DT14" s="125"/>
      <c r="DU14" s="123"/>
      <c r="DV14" s="124"/>
      <c r="DW14" s="124"/>
      <c r="DX14" s="124"/>
      <c r="DY14" s="124"/>
      <c r="DZ14" s="169" t="s">
        <v>35</v>
      </c>
      <c r="EA14" s="169"/>
      <c r="EB14" s="124"/>
      <c r="EC14" s="124"/>
      <c r="ED14" s="124"/>
      <c r="EE14" s="124"/>
      <c r="EF14" s="169" t="s">
        <v>36</v>
      </c>
      <c r="EG14" s="169"/>
      <c r="EH14" s="124"/>
      <c r="EI14" s="124"/>
      <c r="EJ14" s="124"/>
      <c r="EK14" s="124"/>
      <c r="EL14" s="169" t="s">
        <v>37</v>
      </c>
      <c r="EM14" s="169"/>
      <c r="EN14" s="124"/>
      <c r="EO14" s="124"/>
      <c r="EP14" s="124"/>
      <c r="EQ14" s="124"/>
      <c r="ER14" s="169" t="s">
        <v>38</v>
      </c>
      <c r="ES14" s="169"/>
      <c r="ET14" s="124"/>
      <c r="EU14" s="124"/>
      <c r="EV14" s="124"/>
      <c r="EW14" s="124"/>
      <c r="EX14" s="125"/>
      <c r="EY14" s="123"/>
      <c r="EZ14" s="124"/>
      <c r="FA14" s="124"/>
      <c r="FB14" s="124"/>
      <c r="FC14" s="124"/>
      <c r="FD14" s="169" t="s">
        <v>35</v>
      </c>
      <c r="FE14" s="169"/>
      <c r="FF14" s="124"/>
      <c r="FG14" s="124"/>
      <c r="FH14" s="124"/>
      <c r="FI14" s="124"/>
      <c r="FJ14" s="169" t="s">
        <v>36</v>
      </c>
      <c r="FK14" s="169"/>
      <c r="FL14" s="124"/>
      <c r="FM14" s="124"/>
      <c r="FN14" s="124"/>
      <c r="FO14" s="124"/>
      <c r="FP14" s="169" t="s">
        <v>37</v>
      </c>
      <c r="FQ14" s="169"/>
      <c r="FR14" s="124"/>
      <c r="FS14" s="124"/>
      <c r="FT14" s="124"/>
      <c r="FU14" s="124"/>
      <c r="FV14" s="169" t="s">
        <v>38</v>
      </c>
      <c r="FW14" s="169"/>
      <c r="FX14" s="124"/>
      <c r="FY14" s="124"/>
      <c r="FZ14" s="124"/>
      <c r="GA14" s="124"/>
      <c r="GB14" s="125"/>
      <c r="GC14" s="123"/>
      <c r="GD14" s="124"/>
      <c r="GE14" s="124"/>
      <c r="GF14" s="124"/>
      <c r="GG14" s="124"/>
      <c r="GH14" s="169" t="s">
        <v>35</v>
      </c>
      <c r="GI14" s="169"/>
      <c r="GJ14" s="124"/>
      <c r="GK14" s="124"/>
      <c r="GL14" s="124"/>
      <c r="GM14" s="124"/>
      <c r="GN14" s="169" t="s">
        <v>36</v>
      </c>
      <c r="GO14" s="169"/>
      <c r="GP14" s="124"/>
      <c r="GQ14" s="124"/>
      <c r="GR14" s="124"/>
      <c r="GS14" s="124"/>
      <c r="GT14" s="169" t="s">
        <v>37</v>
      </c>
      <c r="GU14" s="169"/>
      <c r="GV14" s="124"/>
      <c r="GW14" s="124"/>
      <c r="GX14" s="124"/>
      <c r="GY14" s="124"/>
      <c r="GZ14" s="169" t="s">
        <v>38</v>
      </c>
      <c r="HA14" s="169"/>
      <c r="HB14" s="124"/>
      <c r="HC14" s="124"/>
      <c r="HD14" s="124"/>
      <c r="HE14" s="124"/>
      <c r="HF14" s="125"/>
      <c r="HG14" s="123"/>
      <c r="HH14" s="124"/>
      <c r="HI14" s="124"/>
      <c r="HJ14" s="124"/>
      <c r="HK14" s="124"/>
      <c r="HL14" s="169" t="s">
        <v>35</v>
      </c>
      <c r="HM14" s="169"/>
      <c r="HN14" s="124"/>
      <c r="HO14" s="124"/>
      <c r="HP14" s="124"/>
      <c r="HQ14" s="124"/>
      <c r="HR14" s="169" t="s">
        <v>36</v>
      </c>
      <c r="HS14" s="169"/>
      <c r="HT14" s="124"/>
      <c r="HU14" s="124"/>
      <c r="HV14" s="124"/>
      <c r="HW14" s="124"/>
      <c r="HX14" s="169" t="s">
        <v>37</v>
      </c>
      <c r="HY14" s="169"/>
      <c r="HZ14" s="124"/>
      <c r="IA14" s="124"/>
      <c r="IB14" s="124"/>
      <c r="IC14" s="124"/>
      <c r="ID14" s="169" t="s">
        <v>38</v>
      </c>
      <c r="IE14" s="169"/>
      <c r="IF14" s="124"/>
      <c r="IG14" s="124"/>
      <c r="IH14" s="124"/>
      <c r="II14" s="124"/>
      <c r="IJ14" s="125"/>
      <c r="IK14" s="109"/>
    </row>
    <row r="15" spans="1:245" ht="20.100000000000001" customHeight="1" x14ac:dyDescent="0.25">
      <c r="A15" s="119" t="s">
        <v>30</v>
      </c>
      <c r="B15" s="66" t="str">
        <f>IF(LEN(C15)=0,"",C15)</f>
        <v xml:space="preserve">Absences - imprévus </v>
      </c>
      <c r="C15" s="180"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82"/>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80"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82"/>
      <c r="D18" s="36">
        <v>2</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155"/>
      <c r="AJ18" s="156"/>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80"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81"/>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80"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81"/>
      <c r="D22" s="36">
        <v>4</v>
      </c>
      <c r="E22" s="37"/>
      <c r="F22" s="38"/>
      <c r="G22" s="83"/>
      <c r="H22" s="38"/>
      <c r="I22" s="156"/>
      <c r="J22" s="158"/>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157"/>
      <c r="AL22" s="156"/>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38"/>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80"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81"/>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80" t="s">
        <v>58</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82"/>
      <c r="D26" s="36">
        <v>4</v>
      </c>
      <c r="E26" s="155"/>
      <c r="F26" s="156"/>
      <c r="G26" s="157"/>
      <c r="H26" s="156"/>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80" t="s">
        <v>57</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81"/>
      <c r="D28" s="28">
        <v>9</v>
      </c>
      <c r="E28" s="29"/>
      <c r="F28" s="30"/>
      <c r="G28" s="81"/>
      <c r="H28" s="30"/>
      <c r="I28" s="30"/>
      <c r="J28" s="76"/>
      <c r="K28" s="159"/>
      <c r="L28" s="159"/>
      <c r="M28" s="160"/>
      <c r="N28" s="159"/>
      <c r="O28" s="159"/>
      <c r="P28" s="161"/>
      <c r="Q28" s="159"/>
      <c r="R28" s="159"/>
      <c r="S28" s="160"/>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80" t="s">
        <v>59</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82"/>
      <c r="D30" s="36">
        <v>11</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156"/>
      <c r="AN30" s="158"/>
      <c r="AO30" s="156"/>
      <c r="AP30" s="156"/>
      <c r="AQ30" s="157"/>
      <c r="AR30" s="156"/>
      <c r="AS30" s="156"/>
      <c r="AT30" s="158"/>
      <c r="AU30" s="156"/>
      <c r="AV30" s="156"/>
      <c r="AW30" s="157"/>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37"/>
      <c r="CR30" s="38"/>
      <c r="CS30" s="83"/>
      <c r="CT30" s="38"/>
      <c r="CU30" s="38"/>
      <c r="CV30" s="78"/>
      <c r="CW30" s="38"/>
      <c r="CX30" s="38"/>
      <c r="CY30" s="83"/>
      <c r="CZ30" s="38"/>
      <c r="DA30" s="38"/>
      <c r="DB30" s="7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80" t="s">
        <v>60</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82"/>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80" t="s">
        <v>61</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82"/>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80" t="s">
        <v>62</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81"/>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80" t="s">
        <v>63</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82"/>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80" t="s">
        <v>64</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81"/>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80"/>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82"/>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80"/>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82"/>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80"/>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81"/>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80"/>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82"/>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80"/>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82"/>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80"/>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81"/>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80"/>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82"/>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80"/>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81"/>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80"/>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82"/>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80"/>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82"/>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80"/>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81"/>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80"/>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82"/>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80"/>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82"/>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80"/>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81"/>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80"/>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82"/>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80"/>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81"/>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80"/>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82"/>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80"/>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82"/>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80"/>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81"/>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80"/>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82"/>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80"/>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82"/>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80"/>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81"/>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80"/>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82"/>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80"/>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81"/>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80"/>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82"/>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80"/>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82"/>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80"/>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81"/>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85"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86"/>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83" t="s">
        <v>12</v>
      </c>
      <c r="D97" s="141">
        <f>SUM(D16,D18,D20,D22,D24,D26,D28,D30,D32,D34,D36,D38,D40,D42,D44,D46,D48,D50,D52,D54,D56,D58,D60,D62,D64,D66,D68,D70,D72,D74,D76,D78,D80,D82,D84,D86,D88,D90,D92,D94)</f>
        <v>30</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84"/>
      <c r="D98" s="145" t="str">
        <f xml:space="preserve"> INT((D97*10) / 60) &amp; "h" &amp;  (D97*10) - (INT((D97*10) / 60) * 60) &amp; "min"</f>
        <v>5h0min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CQ13:DT13"/>
    <mergeCell ref="BM13:CP13"/>
    <mergeCell ref="BM10:CO10"/>
    <mergeCell ref="BM12:CP12"/>
    <mergeCell ref="CV14:CW14"/>
    <mergeCell ref="DB14:DC14"/>
    <mergeCell ref="DH14:DI14"/>
    <mergeCell ref="DN14:DO14"/>
    <mergeCell ref="BX14:BY14"/>
    <mergeCell ref="CD14:CE14"/>
    <mergeCell ref="CJ14:CK14"/>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13:C14"/>
    <mergeCell ref="D13:D14"/>
    <mergeCell ref="C35:C36"/>
    <mergeCell ref="C29:C30"/>
    <mergeCell ref="C37:C38"/>
    <mergeCell ref="C45:C46"/>
    <mergeCell ref="C31:C32"/>
    <mergeCell ref="C33:C34"/>
    <mergeCell ref="C97:C98"/>
    <mergeCell ref="C89:C90"/>
    <mergeCell ref="C95:C96"/>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85:C86"/>
    <mergeCell ref="C87:C88"/>
    <mergeCell ref="C53:C54"/>
    <mergeCell ref="C55:C56"/>
    <mergeCell ref="AB14:AC14"/>
    <mergeCell ref="P14:Q14"/>
    <mergeCell ref="V14:W14"/>
    <mergeCell ref="V9:AF9"/>
    <mergeCell ref="AG9:AV9"/>
    <mergeCell ref="AI11:BL11"/>
    <mergeCell ref="C19:C20"/>
    <mergeCell ref="C21:C22"/>
    <mergeCell ref="C15:C16"/>
    <mergeCell ref="E13:AH13"/>
    <mergeCell ref="C1:D1"/>
    <mergeCell ref="C7:D7"/>
    <mergeCell ref="E12:AH12"/>
    <mergeCell ref="AI12:BL12"/>
    <mergeCell ref="C11:D12"/>
    <mergeCell ref="BM11:CP11"/>
    <mergeCell ref="F9:T9"/>
    <mergeCell ref="E11:AH11"/>
    <mergeCell ref="EY10:GB10"/>
    <mergeCell ref="EY11:GB11"/>
    <mergeCell ref="EY12:GB12"/>
    <mergeCell ref="CQ11:DT11"/>
    <mergeCell ref="CQ10:DT10"/>
    <mergeCell ref="CQ12:DT12"/>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E1"/>
  <sheetViews>
    <sheetView showGridLines="0" zoomScale="115" zoomScaleNormal="115" zoomScaleSheetLayoutView="98" workbookViewId="0">
      <pane ySplit="1" topLeftCell="A2" activePane="bottomLeft" state="frozen"/>
      <selection activeCell="BC13" sqref="BC13"/>
      <selection pane="bottomLeft" activeCell="E1" sqref="E1"/>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4:4" ht="49.5" customHeight="1" x14ac:dyDescent="0.3">
      <c r="D1" s="63"/>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85725</xdr:colOff>
                <xdr:row>0</xdr:row>
                <xdr:rowOff>76200</xdr:rowOff>
              </from>
              <to>
                <xdr:col>2</xdr:col>
                <xdr:colOff>1762125</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1</xdr:col>
                <xdr:colOff>419100</xdr:colOff>
                <xdr:row>0</xdr:row>
                <xdr:rowOff>571500</xdr:rowOff>
              </to>
            </anchor>
          </controlPr>
        </control>
      </mc:Choice>
      <mc:Fallback>
        <control shapeId="6156" r:id="rId6" name="btnRapatriementPlanif"/>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38"/>
  <sheetViews>
    <sheetView showGridLines="0" tabSelected="1" zoomScale="115" zoomScaleNormal="115" zoomScaleSheetLayoutView="98" workbookViewId="0">
      <pane ySplit="1" topLeftCell="A2" activePane="bottomLeft" state="frozen"/>
      <selection pane="bottomLeft" activeCell="J12" sqref="J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x14ac:dyDescent="0.3"/>
    <row r="2" spans="1:56" ht="15" thickBot="1" x14ac:dyDescent="0.35">
      <c r="A2" s="87"/>
      <c r="B2" s="87"/>
      <c r="C2" s="87"/>
      <c r="D2" s="87"/>
      <c r="E2" s="87"/>
      <c r="F2" s="52"/>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row>
    <row r="3" spans="1:56" s="48" customFormat="1" ht="18.75" thickBot="1" x14ac:dyDescent="0.3">
      <c r="A3" s="90" t="s">
        <v>18</v>
      </c>
      <c r="B3" s="91">
        <v>3</v>
      </c>
      <c r="C3" s="92" t="s">
        <v>20</v>
      </c>
      <c r="D3" s="151">
        <v>45685</v>
      </c>
      <c r="E3" s="150"/>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48" customFormat="1" ht="30" customHeight="1" thickBot="1" x14ac:dyDescent="0.3">
      <c r="A4" s="88" t="s">
        <v>6</v>
      </c>
      <c r="B4" s="89" t="s">
        <v>25</v>
      </c>
      <c r="C4" s="88" t="s">
        <v>19</v>
      </c>
      <c r="D4" s="88" t="s">
        <v>22</v>
      </c>
      <c r="E4" s="88"/>
      <c r="F4" s="47"/>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row>
    <row r="5" spans="1:56" s="53" customFormat="1" x14ac:dyDescent="0.3">
      <c r="A5" s="49"/>
      <c r="B5" s="101"/>
      <c r="C5" s="51"/>
      <c r="D5" s="51"/>
      <c r="E5" s="51"/>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4"/>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3.5" customHeight="1" x14ac:dyDescent="0.3">
      <c r="A11" s="55"/>
      <c r="B11" s="102"/>
      <c r="C11" s="56"/>
      <c r="D11" s="56"/>
      <c r="E11" s="5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57"/>
      <c r="B12" s="103"/>
      <c r="C12" s="58"/>
      <c r="D12" s="58"/>
      <c r="E12" s="58"/>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s="53" customFormat="1" ht="15" thickBot="1" x14ac:dyDescent="0.35">
      <c r="A13" s="85" t="s">
        <v>8</v>
      </c>
      <c r="B13" s="99">
        <f>SUM(B5:B12)</f>
        <v>0</v>
      </c>
      <c r="C13" s="144" t="str">
        <f xml:space="preserve"> INT((B13*10) / 60) &amp; "h" &amp;  (B13*10) - (INT((B13*10) / 60) * 60) &amp; "min"</f>
        <v>0h0min</v>
      </c>
      <c r="D13" s="144"/>
      <c r="E13" s="86"/>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ht="15" thickBot="1" x14ac:dyDescent="0.35">
      <c r="A14" s="87"/>
      <c r="B14" s="87"/>
      <c r="C14" s="87"/>
      <c r="D14" s="87"/>
      <c r="E14" s="87"/>
      <c r="F14" s="52"/>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row>
    <row r="15" spans="1:56" s="48" customFormat="1" ht="18.75" thickBot="1" x14ac:dyDescent="0.3">
      <c r="A15" s="90" t="s">
        <v>18</v>
      </c>
      <c r="B15" s="91">
        <v>2</v>
      </c>
      <c r="C15" s="92" t="s">
        <v>20</v>
      </c>
      <c r="D15" s="151">
        <v>45678</v>
      </c>
      <c r="E15" s="150"/>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48" customFormat="1" ht="30" customHeight="1" thickBot="1" x14ac:dyDescent="0.3">
      <c r="A16" s="88" t="s">
        <v>6</v>
      </c>
      <c r="B16" s="89" t="s">
        <v>25</v>
      </c>
      <c r="C16" s="88" t="s">
        <v>19</v>
      </c>
      <c r="D16" s="88" t="s">
        <v>22</v>
      </c>
      <c r="E16" s="88"/>
      <c r="F16" s="47"/>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row>
    <row r="17" spans="1:56" s="53" customFormat="1" ht="40.5" x14ac:dyDescent="0.3">
      <c r="A17" s="49" t="s">
        <v>45</v>
      </c>
      <c r="B17" s="50">
        <v>2</v>
      </c>
      <c r="C17" s="51" t="s">
        <v>68</v>
      </c>
      <c r="D17" s="51"/>
      <c r="E17" s="51"/>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ht="27" x14ac:dyDescent="0.3">
      <c r="A18" s="54" t="s">
        <v>27</v>
      </c>
      <c r="B18" s="55">
        <v>2</v>
      </c>
      <c r="C18" s="56" t="s">
        <v>69</v>
      </c>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ht="54" x14ac:dyDescent="0.3">
      <c r="A19" s="54" t="s">
        <v>59</v>
      </c>
      <c r="B19" s="55">
        <v>11</v>
      </c>
      <c r="C19" s="56" t="s">
        <v>70</v>
      </c>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4"/>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3.5" customHeight="1" x14ac:dyDescent="0.3">
      <c r="A23" s="55"/>
      <c r="B23" s="102"/>
      <c r="C23" s="56"/>
      <c r="D23" s="56"/>
      <c r="E23" s="56"/>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57"/>
      <c r="B24" s="103"/>
      <c r="C24" s="58"/>
      <c r="D24" s="58"/>
      <c r="E24" s="58"/>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s="53" customFormat="1" ht="15" thickBot="1" x14ac:dyDescent="0.35">
      <c r="A25" s="85" t="s">
        <v>8</v>
      </c>
      <c r="B25" s="99">
        <f>SUM(B17:B24)</f>
        <v>15</v>
      </c>
      <c r="C25" s="144" t="str">
        <f xml:space="preserve"> INT((B25*10) / 60) &amp; "h" &amp;  (B25*10) - (INT((B25*10) / 60) * 60) &amp; "min"</f>
        <v>2h30min</v>
      </c>
      <c r="D25" s="144"/>
      <c r="E25" s="86"/>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row r="26" spans="1:56" ht="15" thickBot="1" x14ac:dyDescent="0.35">
      <c r="A26" s="87"/>
      <c r="B26" s="87"/>
      <c r="C26" s="87"/>
      <c r="D26" s="87"/>
      <c r="E26" s="87"/>
      <c r="F26" s="52"/>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row>
    <row r="27" spans="1:56" s="48" customFormat="1" ht="18.75" thickBot="1" x14ac:dyDescent="0.3">
      <c r="A27" s="90" t="s">
        <v>18</v>
      </c>
      <c r="B27" s="91">
        <v>1</v>
      </c>
      <c r="C27" s="92" t="s">
        <v>20</v>
      </c>
      <c r="D27" s="151">
        <v>45671</v>
      </c>
      <c r="E27" s="150"/>
      <c r="F27" s="47"/>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row>
    <row r="28" spans="1:56" s="48" customFormat="1" ht="30" customHeight="1" thickBot="1" x14ac:dyDescent="0.3">
      <c r="A28" s="88" t="s">
        <v>6</v>
      </c>
      <c r="B28" s="89" t="s">
        <v>25</v>
      </c>
      <c r="C28" s="88" t="s">
        <v>19</v>
      </c>
      <c r="D28" s="88" t="s">
        <v>22</v>
      </c>
      <c r="E28" s="88"/>
      <c r="F28" s="47"/>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row>
    <row r="29" spans="1:56" s="53" customFormat="1" ht="40.5" x14ac:dyDescent="0.3">
      <c r="A29" s="49" t="s">
        <v>58</v>
      </c>
      <c r="B29" s="50">
        <v>4</v>
      </c>
      <c r="C29" s="51" t="s">
        <v>65</v>
      </c>
      <c r="D29" s="51"/>
      <c r="E29" s="51"/>
      <c r="F29" s="52"/>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row>
    <row r="30" spans="1:56" s="53" customFormat="1" ht="40.5" x14ac:dyDescent="0.3">
      <c r="A30" s="54" t="s">
        <v>27</v>
      </c>
      <c r="B30" s="55">
        <v>2</v>
      </c>
      <c r="C30" s="56" t="s">
        <v>66</v>
      </c>
      <c r="D30" s="56"/>
      <c r="E30" s="56"/>
      <c r="F30" s="52"/>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row>
    <row r="31" spans="1:56" s="53" customFormat="1" ht="67.5" x14ac:dyDescent="0.3">
      <c r="A31" s="54" t="s">
        <v>57</v>
      </c>
      <c r="B31" s="55">
        <v>9</v>
      </c>
      <c r="C31" s="56" t="s">
        <v>67</v>
      </c>
      <c r="D31" s="56"/>
      <c r="E31" s="56"/>
      <c r="F31" s="52"/>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row>
    <row r="32" spans="1:56" s="53" customFormat="1" x14ac:dyDescent="0.3">
      <c r="A32" s="54"/>
      <c r="B32" s="102"/>
      <c r="C32" s="56"/>
      <c r="D32" s="56"/>
      <c r="E32" s="56"/>
      <c r="F32" s="52"/>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row>
    <row r="33" spans="1:56" s="53" customFormat="1" x14ac:dyDescent="0.3">
      <c r="A33" s="55"/>
      <c r="B33" s="102"/>
      <c r="C33" s="56"/>
      <c r="D33" s="56"/>
      <c r="E33" s="56"/>
      <c r="F33" s="52"/>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row>
    <row r="34" spans="1:56" s="53" customFormat="1" x14ac:dyDescent="0.3">
      <c r="A34" s="55"/>
      <c r="B34" s="102"/>
      <c r="C34" s="56"/>
      <c r="D34" s="56"/>
      <c r="E34" s="56"/>
      <c r="F34" s="52"/>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row>
    <row r="35" spans="1:56" s="53" customFormat="1" ht="13.5" customHeight="1" x14ac:dyDescent="0.3">
      <c r="A35" s="55"/>
      <c r="B35" s="102"/>
      <c r="C35" s="56"/>
      <c r="D35" s="56"/>
      <c r="E35" s="56"/>
      <c r="F35" s="52"/>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row>
    <row r="36" spans="1:56" s="53" customFormat="1" ht="15" thickBot="1" x14ac:dyDescent="0.35">
      <c r="A36" s="57"/>
      <c r="B36" s="103"/>
      <c r="C36" s="58"/>
      <c r="D36" s="58"/>
      <c r="E36" s="58"/>
      <c r="F36" s="52"/>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row>
    <row r="37" spans="1:56" s="53" customFormat="1" ht="15" thickBot="1" x14ac:dyDescent="0.35">
      <c r="A37" s="85" t="s">
        <v>8</v>
      </c>
      <c r="B37" s="99">
        <f>SUM(B29:B36)</f>
        <v>15</v>
      </c>
      <c r="C37" s="144" t="str">
        <f xml:space="preserve"> INT((B37*10) / 60) &amp; "h" &amp;  (B37*10) - (INT((B37*10) / 60) * 60) &amp; "min"</f>
        <v>2h30min</v>
      </c>
      <c r="D37" s="144"/>
      <c r="E37" s="86"/>
      <c r="F37" s="52"/>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row>
    <row r="38" spans="1:56" x14ac:dyDescent="0.3">
      <c r="A38" s="87"/>
      <c r="B38" s="87"/>
      <c r="C38" s="87"/>
      <c r="D38" s="87"/>
      <c r="E38" s="87"/>
      <c r="F38" s="52"/>
      <c r="G38" s="65"/>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row>
  </sheetData>
  <sheetProtection formatRows="0" insertRows="0" insertHyperlinks="0" deleteRows="0" selectLockedCells="1"/>
  <phoneticPr fontId="0" type="noConversion"/>
  <conditionalFormatting sqref="B37">
    <cfRule type="cellIs" dxfId="5" priority="4" operator="greaterThan">
      <formula>30</formula>
    </cfRule>
  </conditionalFormatting>
  <conditionalFormatting sqref="B25">
    <cfRule type="cellIs" dxfId="4" priority="3" operator="greaterThan">
      <formula>30</formula>
    </cfRule>
  </conditionalFormatting>
  <conditionalFormatting sqref="B13">
    <cfRule type="cellIs" dxfId="3" priority="2" operator="greaterThan">
      <formula>30</formula>
    </cfRule>
  </conditionalFormatting>
  <dataValidations count="4">
    <dataValidation type="whole" operator="greaterThan" allowBlank="1" showErrorMessage="1" errorTitle="Durée par tranche de 10min" error="Le nombre doit être de type entier" sqref="B32:B36 B20:B24 B5:B12" xr:uid="{0057BFE7-1D2E-4C7C-8E53-DCFB24FA3609}">
      <formula1>0</formula1>
    </dataValidation>
    <dataValidation type="list" allowBlank="1" showInputMessage="1" showErrorMessage="1" sqref="A29:A36 A17:A24 A5:A12"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37 B25 B13" xr:uid="{8D2A4498-D7BA-486D-A8ED-FF3289533368}">
      <formula1>0</formula1>
      <formula2>30</formula2>
    </dataValidation>
    <dataValidation type="whole" operator="greaterThan" allowBlank="1" showInputMessage="1" showErrorMessage="1" errorTitle="Durée par tranche de 10min" error="Le nombre doit être de type entier" sqref="B29:B31 B17:B19"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2</xdr:col>
                <xdr:colOff>1495425</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Q39" sqref="Q39"/>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192" t="s">
        <v>47</v>
      </c>
      <c r="C35" s="192"/>
      <c r="D35" s="192"/>
      <c r="E35" s="130" t="s">
        <v>71</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193" t="s">
        <v>48</v>
      </c>
      <c r="C37" s="193"/>
      <c r="D37" s="193"/>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162" t="s">
        <v>72</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63"/>
      <c r="B10" s="163"/>
      <c r="C10" s="163"/>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09"/>
    </row>
    <row r="11" spans="1:31" ht="18" x14ac:dyDescent="0.25">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09"/>
    </row>
    <row r="12" spans="1:31" ht="18.75" thickBot="1" x14ac:dyDescent="0.3">
      <c r="A12" s="165"/>
      <c r="B12" s="165"/>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09"/>
    </row>
    <row r="13" spans="1:31" ht="18.75" thickBot="1" x14ac:dyDescent="0.3">
      <c r="A13" s="166" t="s">
        <v>18</v>
      </c>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8"/>
      <c r="AE13" s="109"/>
    </row>
    <row r="14" spans="1:31" ht="15.75" thickBot="1" x14ac:dyDescent="0.3">
      <c r="A14" s="123"/>
      <c r="B14" s="124"/>
      <c r="C14" s="124"/>
      <c r="D14" s="124"/>
      <c r="E14" s="124"/>
      <c r="F14" s="169" t="s">
        <v>35</v>
      </c>
      <c r="G14" s="169"/>
      <c r="H14" s="124"/>
      <c r="I14" s="124"/>
      <c r="J14" s="124"/>
      <c r="K14" s="124"/>
      <c r="L14" s="169" t="s">
        <v>36</v>
      </c>
      <c r="M14" s="169"/>
      <c r="N14" s="124"/>
      <c r="O14" s="124"/>
      <c r="P14" s="124"/>
      <c r="Q14" s="124"/>
      <c r="R14" s="169" t="s">
        <v>37</v>
      </c>
      <c r="S14" s="169"/>
      <c r="T14" s="124"/>
      <c r="U14" s="124"/>
      <c r="V14" s="124"/>
      <c r="W14" s="124"/>
      <c r="X14" s="169" t="s">
        <v>38</v>
      </c>
      <c r="Y14" s="169"/>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194" t="s">
        <v>21</v>
      </c>
      <c r="E2" s="195"/>
      <c r="F2" s="47"/>
    </row>
    <row r="3" spans="1:6" s="53" customFormat="1" x14ac:dyDescent="0.3">
      <c r="A3" s="49"/>
      <c r="B3" s="50"/>
      <c r="C3" s="51"/>
      <c r="D3" s="202"/>
      <c r="E3" s="203"/>
      <c r="F3" s="52"/>
    </row>
    <row r="4" spans="1:6" s="53" customFormat="1" x14ac:dyDescent="0.3">
      <c r="A4" s="54"/>
      <c r="B4" s="55"/>
      <c r="C4" s="56"/>
      <c r="D4" s="196"/>
      <c r="E4" s="197"/>
      <c r="F4" s="52"/>
    </row>
    <row r="5" spans="1:6" s="53" customFormat="1" x14ac:dyDescent="0.3">
      <c r="A5" s="54"/>
      <c r="B5" s="55"/>
      <c r="C5" s="56"/>
      <c r="D5" s="196"/>
      <c r="E5" s="197"/>
      <c r="F5" s="52"/>
    </row>
    <row r="6" spans="1:6" s="53" customFormat="1" x14ac:dyDescent="0.3">
      <c r="A6" s="54"/>
      <c r="B6" s="55"/>
      <c r="C6" s="56"/>
      <c r="D6" s="196"/>
      <c r="E6" s="197"/>
      <c r="F6" s="52"/>
    </row>
    <row r="7" spans="1:6" s="53" customFormat="1" x14ac:dyDescent="0.3">
      <c r="A7" s="55"/>
      <c r="B7" s="55"/>
      <c r="C7" s="56"/>
      <c r="D7" s="196"/>
      <c r="E7" s="197"/>
      <c r="F7" s="52"/>
    </row>
    <row r="8" spans="1:6" s="53" customFormat="1" x14ac:dyDescent="0.3">
      <c r="A8" s="55"/>
      <c r="B8" s="55"/>
      <c r="C8" s="56"/>
      <c r="D8" s="196"/>
      <c r="E8" s="197"/>
      <c r="F8" s="52"/>
    </row>
    <row r="9" spans="1:6" s="53" customFormat="1" x14ac:dyDescent="0.3">
      <c r="A9" s="55"/>
      <c r="B9" s="55"/>
      <c r="C9" s="56"/>
      <c r="D9" s="196"/>
      <c r="E9" s="197"/>
      <c r="F9" s="52"/>
    </row>
    <row r="10" spans="1:6" s="53" customFormat="1" ht="15" thickBot="1" x14ac:dyDescent="0.35">
      <c r="A10" s="57"/>
      <c r="B10" s="57"/>
      <c r="C10" s="58"/>
      <c r="D10" s="198"/>
      <c r="E10" s="199"/>
      <c r="F10" s="52"/>
    </row>
    <row r="11" spans="1:6" s="53" customFormat="1" ht="15" thickBot="1" x14ac:dyDescent="0.35">
      <c r="A11" s="134" t="s">
        <v>40</v>
      </c>
      <c r="B11" s="100">
        <f>SUM(B3:B10)</f>
        <v>0</v>
      </c>
      <c r="C11" s="143" t="str">
        <f xml:space="preserve"> INT((B11*10) / 60) &amp; "h" &amp;  (B11*10) - (INT((B11*10) / 60) * 60) &amp; "min"</f>
        <v>0h0min</v>
      </c>
      <c r="D11" s="200"/>
      <c r="E11" s="201"/>
      <c r="F11" s="52"/>
    </row>
    <row r="12" spans="1:6" s="60" customFormat="1" x14ac:dyDescent="0.3">
      <c r="A12" s="93"/>
      <c r="B12" s="93"/>
      <c r="C12" s="93"/>
      <c r="D12" s="93"/>
      <c r="E12" s="93"/>
      <c r="F12" s="59"/>
    </row>
  </sheetData>
  <mergeCells count="10">
    <mergeCell ref="D9:E9"/>
    <mergeCell ref="D10:E10"/>
    <mergeCell ref="D11:E11"/>
    <mergeCell ref="D3:E3"/>
    <mergeCell ref="D4:E4"/>
    <mergeCell ref="D2:E2"/>
    <mergeCell ref="D5:E5"/>
    <mergeCell ref="D6:E6"/>
    <mergeCell ref="D7:E7"/>
    <mergeCell ref="D8:E8"/>
  </mergeCells>
  <conditionalFormatting sqref="B11">
    <cfRule type="cellIs" dxfId="1"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0"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2025-01-28T10:28:21Z</dcterms:modified>
</cp:coreProperties>
</file>